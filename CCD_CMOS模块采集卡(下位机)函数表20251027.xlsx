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函数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guoyw</author>
  </authors>
  <commentList>
    <comment ref="F4" authorId="0">
      <text>
        <r>
          <rPr>
            <b/>
            <sz val="9"/>
            <rFont val="宋体"/>
            <charset val="134"/>
          </rPr>
          <t>guoyw:</t>
        </r>
        <r>
          <rPr>
            <sz val="9"/>
            <rFont val="宋体"/>
            <charset val="134"/>
          </rPr>
          <t xml:space="preserve">
1+ 4*6</t>
        </r>
      </text>
    </comment>
    <comment ref="F6" authorId="0">
      <text>
        <r>
          <rPr>
            <b/>
            <sz val="9"/>
            <rFont val="宋体"/>
            <charset val="134"/>
          </rPr>
          <t>guoyw:</t>
        </r>
        <r>
          <rPr>
            <sz val="9"/>
            <rFont val="宋体"/>
            <charset val="134"/>
          </rPr>
          <t xml:space="preserve">
1+4+2+2+4</t>
        </r>
      </text>
    </comment>
    <comment ref="F8" authorId="0">
      <text>
        <r>
          <rPr>
            <b/>
            <sz val="9"/>
            <rFont val="宋体"/>
            <charset val="134"/>
          </rPr>
          <t>guoyw:</t>
        </r>
        <r>
          <rPr>
            <sz val="9"/>
            <rFont val="宋体"/>
            <charset val="134"/>
          </rPr>
          <t xml:space="preserve">
1+ 4*6</t>
        </r>
      </text>
    </comment>
  </commentList>
</comments>
</file>

<file path=xl/sharedStrings.xml><?xml version="1.0" encoding="utf-8"?>
<sst xmlns="http://schemas.openxmlformats.org/spreadsheetml/2006/main" count="313" uniqueCount="126">
  <si>
    <t>序号</t>
  </si>
  <si>
    <t>Funcode</t>
  </si>
  <si>
    <t>函数原型</t>
  </si>
  <si>
    <t>函数功能</t>
  </si>
  <si>
    <t>StartBytes
1byte</t>
  </si>
  <si>
    <t>Length
长度2byte</t>
  </si>
  <si>
    <t>Funcode
功能码</t>
  </si>
  <si>
    <t>数据</t>
  </si>
  <si>
    <t>校验
累加和</t>
  </si>
  <si>
    <t>说明</t>
  </si>
  <si>
    <t>通用接口</t>
  </si>
  <si>
    <t>查询控制器版本信息</t>
  </si>
  <si>
    <t>0x24</t>
  </si>
  <si>
    <t>0x01</t>
  </si>
  <si>
    <t>空</t>
  </si>
  <si>
    <t>0x2(1+1)</t>
  </si>
  <si>
    <t>返回</t>
  </si>
  <si>
    <r>
      <rPr>
        <sz val="11"/>
        <color theme="1"/>
        <rFont val="宋体"/>
        <charset val="134"/>
        <scheme val="minor"/>
      </rPr>
      <t xml:space="preserve">U32 nName U32 nType f32 nHardWareVer f32 nFirmWareVer U32 nSN U32 nPixel  </t>
    </r>
    <r>
      <rPr>
        <sz val="11"/>
        <rFont val="宋体"/>
        <charset val="134"/>
        <scheme val="minor"/>
      </rPr>
      <t xml:space="preserve">U32 nStartPixel  U32 nValidPixel </t>
    </r>
    <r>
      <rPr>
        <sz val="11"/>
        <color rgb="FFFF0000"/>
        <rFont val="宋体"/>
        <charset val="134"/>
        <scheme val="minor"/>
      </rPr>
      <t>U32 nPosTimeMin U32 nPosTimeMax</t>
    </r>
  </si>
  <si>
    <t>**</t>
  </si>
  <si>
    <t xml:space="preserve">
20251025增加曝光时间上下限：
nPosTimeMin 曝光时间最小值，us
nPosTimeMax 曝光时间最大值，us</t>
  </si>
  <si>
    <t>生产信息查询</t>
  </si>
  <si>
    <t>0x02</t>
  </si>
  <si>
    <t>U32 nYear,U16 nMonth ,U16 nDay,U32 nTotalNumb</t>
  </si>
  <si>
    <t>查询外触发状态</t>
  </si>
  <si>
    <t>0x03</t>
  </si>
  <si>
    <t>U32 nTrigCount U32 nTrigInCount U32 nErrCount</t>
  </si>
  <si>
    <t>20251025增加
1、外触发模式下，nTrigCount触发次数、nTrigInCount触发信号有效次数、nErrCount异常触发次数(nTrigInCount-nTrigCount)。
2、对于软件触发主机，nTrigCount为实际对外输出信号计数，其他无效</t>
  </si>
  <si>
    <t>设备初始化</t>
  </si>
  <si>
    <t>0x10</t>
  </si>
  <si>
    <t>0x61（OK）/0x71(NOK）</t>
  </si>
  <si>
    <t>参数配置接口</t>
  </si>
  <si>
    <t>积分时间设置</t>
  </si>
  <si>
    <t>0x20</t>
  </si>
  <si>
    <t>U32 nTime</t>
  </si>
  <si>
    <t>单位：us</t>
  </si>
  <si>
    <r>
      <rPr>
        <sz val="11.5"/>
        <color rgb="FF000000"/>
        <rFont val="宋体"/>
        <charset val="134"/>
      </rPr>
      <t>触发模式</t>
    </r>
    <r>
      <rPr>
        <b/>
        <sz val="11.5"/>
        <color rgb="FF000000"/>
        <rFont val="Calibri"/>
        <charset val="134"/>
      </rPr>
      <t>(Trigger)</t>
    </r>
    <r>
      <rPr>
        <sz val="11.5"/>
        <color rgb="FF000000"/>
        <rFont val="宋体"/>
        <charset val="134"/>
      </rPr>
      <t>设置</t>
    </r>
  </si>
  <si>
    <t>0x21</t>
  </si>
  <si>
    <t>U8 nMode</t>
  </si>
  <si>
    <t>nMode: 0: 软件触发；1：软件触发主机；2: 外部触发；</t>
  </si>
  <si>
    <t>采集间隔时间设置</t>
  </si>
  <si>
    <t>0x22</t>
  </si>
  <si>
    <t>平均次数设置</t>
  </si>
  <si>
    <t>0x23</t>
  </si>
  <si>
    <t>U32 nCount</t>
  </si>
  <si>
    <t>去除暗电流设置</t>
  </si>
  <si>
    <t>U8 nEnable</t>
  </si>
  <si>
    <t>增益设置</t>
  </si>
  <si>
    <t>0x25</t>
  </si>
  <si>
    <t xml:space="preserve">U8 nGain </t>
  </si>
  <si>
    <t>串口波特率设置（TTL）</t>
  </si>
  <si>
    <t>0x26</t>
  </si>
  <si>
    <t>U32 nBaudRate</t>
  </si>
  <si>
    <t>矫正系数设置</t>
  </si>
  <si>
    <t>0x27</t>
  </si>
  <si>
    <t>F32 Cof1,F32 Cof2,F32 Cof3,F32 Cof4</t>
  </si>
  <si>
    <t>平滑系数设置</t>
  </si>
  <si>
    <t>0x28</t>
  </si>
  <si>
    <t>校正参数设置</t>
  </si>
  <si>
    <t>x</t>
  </si>
  <si>
    <t>0x29</t>
  </si>
  <si>
    <t>U32 nLength U8* nData</t>
  </si>
  <si>
    <t>保存 校正参数，最多4096个
正常nLength = 2* nPixel。超过4096的上层在做拟合处理
保存上层软件发过来的校正参数数据</t>
  </si>
  <si>
    <t>其他系数设置</t>
  </si>
  <si>
    <t>0x2a</t>
  </si>
  <si>
    <t>保存 nLength后面的数据，长度 nLength 。总长小于512byte
可以保存上层软件发过来的任意数据，存储在区域中</t>
  </si>
  <si>
    <t>延时时间设置</t>
  </si>
  <si>
    <t>0x2b</t>
  </si>
  <si>
    <t xml:space="preserve"> U32 nDelay_us </t>
  </si>
  <si>
    <t xml:space="preserve">
nDelay_us：触发延时，单位us。外部/内主触发时有效，内部触发时忽略</t>
  </si>
  <si>
    <t>产品序列号设置</t>
  </si>
  <si>
    <t>0x2C</t>
  </si>
  <si>
    <t>U8* nData</t>
  </si>
  <si>
    <t>前32个字节存生产序列号 + 200字节存其他信息
生产序列号为数字和大小写字母</t>
  </si>
  <si>
    <t>0x71表示里面已经由数据，写入失败</t>
  </si>
  <si>
    <t>参数查询接口</t>
  </si>
  <si>
    <t>积分时间查询</t>
  </si>
  <si>
    <t>0x30</t>
  </si>
  <si>
    <t>单位us？</t>
  </si>
  <si>
    <r>
      <rPr>
        <sz val="11.5"/>
        <color rgb="FF000000"/>
        <rFont val="宋体"/>
        <charset val="134"/>
      </rPr>
      <t>触发模式</t>
    </r>
    <r>
      <rPr>
        <b/>
        <sz val="11.5"/>
        <color rgb="FF000000"/>
        <rFont val="Calibri"/>
        <charset val="134"/>
      </rPr>
      <t>(Trigger)</t>
    </r>
    <r>
      <rPr>
        <sz val="11.5"/>
        <color rgb="FF000000"/>
        <rFont val="宋体"/>
        <charset val="134"/>
      </rPr>
      <t>查询</t>
    </r>
  </si>
  <si>
    <t>0x31</t>
  </si>
  <si>
    <t>查询采集间隔时间</t>
  </si>
  <si>
    <t>0x32</t>
  </si>
  <si>
    <t>平均次数查询</t>
  </si>
  <si>
    <t>0x33</t>
  </si>
  <si>
    <t>去除暗电流查询</t>
  </si>
  <si>
    <t>0x34</t>
  </si>
  <si>
    <t>查询增益</t>
  </si>
  <si>
    <t>0x35</t>
  </si>
  <si>
    <t>0~63
放大倍率公式参考右图</t>
  </si>
  <si>
    <t>串口波特率查询（TTL）</t>
  </si>
  <si>
    <t>0x36</t>
  </si>
  <si>
    <t>矫正系数查询</t>
  </si>
  <si>
    <t>0x37</t>
  </si>
  <si>
    <t>平滑系数查询</t>
  </si>
  <si>
    <t>0x38</t>
  </si>
  <si>
    <t>校正参数查询</t>
  </si>
  <si>
    <t>0x39</t>
  </si>
  <si>
    <t>U32 nLength</t>
  </si>
  <si>
    <t>读取校正参数区域中保存的nLength 个参数，不超过4096*2 byte</t>
  </si>
  <si>
    <t>其他系数查询</t>
  </si>
  <si>
    <t>0x3a</t>
  </si>
  <si>
    <t>读取区域2中保存的nLength 个参数，总长小于512byte</t>
  </si>
  <si>
    <t>延时时间查询</t>
  </si>
  <si>
    <t>0x3b</t>
  </si>
  <si>
    <t xml:space="preserve">U32 nDelay_us </t>
  </si>
  <si>
    <t>nDelay_us：触发延时，单位us</t>
  </si>
  <si>
    <t>产品序列号查询</t>
  </si>
  <si>
    <t>0x3C</t>
  </si>
  <si>
    <t>前32个字节存生产序列号 + 200字节存其他信息.生产序列号为数字和大小写字母
如果没有写入，前32个字节返回ascii码的0 .即0x30</t>
  </si>
  <si>
    <t>控制接口</t>
  </si>
  <si>
    <t>采集启动-单次</t>
  </si>
  <si>
    <t>0x50</t>
  </si>
  <si>
    <t>0x61（OK）</t>
  </si>
  <si>
    <t>采集启动-连续</t>
  </si>
  <si>
    <t>0x51</t>
  </si>
  <si>
    <t>采集停止</t>
  </si>
  <si>
    <t>0x52</t>
  </si>
  <si>
    <t>输出触发信号（DO0）</t>
  </si>
  <si>
    <t>0x54</t>
  </si>
  <si>
    <t>无效端口返回0x71</t>
  </si>
  <si>
    <t>数据接口:MCU接收到启动单次/连续采集命令后，按采集间隔时间采集数据，并主动发送采集结果数据。</t>
  </si>
  <si>
    <t>0x24 U16(nLength) 0x80 U32(nPacketNumb) U16[]Data U8(CheckSum)</t>
  </si>
  <si>
    <t>nLength</t>
  </si>
  <si>
    <t>0x80</t>
  </si>
  <si>
    <t>U32 nPacketNumb U16 DH0 DL0 ~DHX DLX  U8 nCheckSum</t>
  </si>
  <si>
    <r>
      <rPr>
        <sz val="11"/>
        <rFont val="宋体"/>
        <charset val="134"/>
        <scheme val="minor"/>
      </rPr>
      <t>不同类型X不一样；与查询控制器版本信息的U32 nPixel一致；即X= nPixel -1 
nLength = 6+2*nPixel</t>
    </r>
    <r>
      <rPr>
        <sz val="11"/>
        <color rgb="FFFF0000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数据高位在前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</si>
</sst>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Tahoma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color rgb="FFFF0000"/>
      <name val="宋体"/>
      <charset val="134"/>
      <scheme val="minor"/>
    </font>
    <font>
      <sz val="11.5"/>
      <color rgb="FF000000"/>
      <name val="宋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.5"/>
      <color rgb="FF000000"/>
      <name val="Calibri"/>
      <charset val="134"/>
    </font>
    <font>
      <b/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 wrapText="1"/>
    </xf>
    <xf numFmtId="0" fontId="5" fillId="2" borderId="0" xfId="0" applyFont="1" applyFill="1"/>
    <xf numFmtId="0" fontId="8" fillId="0" borderId="1" xfId="0" applyFont="1" applyBorder="1" applyAlignment="1">
      <alignment horizontal="justify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1014095</xdr:colOff>
      <xdr:row>38</xdr:row>
      <xdr:rowOff>123825</xdr:rowOff>
    </xdr:from>
    <xdr:to>
      <xdr:col>12</xdr:col>
      <xdr:colOff>361950</xdr:colOff>
      <xdr:row>50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74655" y="11774805"/>
          <a:ext cx="2991485" cy="224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1200150</xdr:colOff>
      <xdr:row>50</xdr:row>
      <xdr:rowOff>92710</xdr:rowOff>
    </xdr:from>
    <xdr:to>
      <xdr:col>19</xdr:col>
      <xdr:colOff>0</xdr:colOff>
      <xdr:row>60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60710" y="14006830"/>
          <a:ext cx="6764020" cy="2168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79"/>
  <sheetViews>
    <sheetView tabSelected="1" topLeftCell="A74" workbookViewId="0">
      <selection activeCell="H79" sqref="H79"/>
    </sheetView>
  </sheetViews>
  <sheetFormatPr defaultColWidth="9" defaultRowHeight="14.4"/>
  <cols>
    <col min="1" max="1" width="5.5" style="1" customWidth="1"/>
    <col min="2" max="2" width="8.37962962962963" style="1" customWidth="1"/>
    <col min="3" max="3" width="19.6296296296296" style="2" customWidth="1"/>
    <col min="4" max="4" width="23.3796296296296" style="2" customWidth="1"/>
    <col min="5" max="6" width="11.1296296296296" customWidth="1"/>
    <col min="7" max="7" width="9.62962962962963" customWidth="1"/>
    <col min="8" max="8" width="29.75" style="2" customWidth="1"/>
    <col min="9" max="9" width="20.8796296296296" customWidth="1"/>
    <col min="10" max="10" width="35.1296296296296" customWidth="1"/>
  </cols>
  <sheetData>
    <row r="1" ht="31.2" spans="1:10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ht="15.6" spans="1:10">
      <c r="A2" s="3"/>
      <c r="B2" s="4"/>
      <c r="C2" s="6" t="s">
        <v>10</v>
      </c>
      <c r="D2" s="3"/>
      <c r="E2" s="3"/>
      <c r="F2" s="3"/>
      <c r="G2" s="3"/>
      <c r="H2" s="3"/>
      <c r="I2" s="3"/>
    </row>
    <row r="3" outlineLevel="1" spans="1:10">
      <c r="A3" s="7">
        <v>1</v>
      </c>
      <c r="B3" s="7"/>
      <c r="C3" s="8"/>
      <c r="D3" s="8" t="s">
        <v>11</v>
      </c>
      <c r="E3" s="9" t="s">
        <v>12</v>
      </c>
      <c r="F3" s="10">
        <v>1</v>
      </c>
      <c r="G3" s="10" t="s">
        <v>13</v>
      </c>
      <c r="H3" s="11" t="s">
        <v>14</v>
      </c>
      <c r="I3" s="10" t="s">
        <v>15</v>
      </c>
    </row>
    <row r="4" ht="86.4" outlineLevel="1" spans="1:10">
      <c r="A4" s="7"/>
      <c r="B4" s="7"/>
      <c r="C4" s="8"/>
      <c r="D4" s="12" t="s">
        <v>16</v>
      </c>
      <c r="E4" s="13" t="s">
        <v>12</v>
      </c>
      <c r="F4" s="14">
        <f>33+8</f>
        <v>41</v>
      </c>
      <c r="G4" s="13" t="s">
        <v>13</v>
      </c>
      <c r="H4" s="15" t="s">
        <v>17</v>
      </c>
      <c r="I4" s="9" t="s">
        <v>18</v>
      </c>
      <c r="J4" s="16" t="s">
        <v>19</v>
      </c>
    </row>
    <row r="5" outlineLevel="1" spans="1:10">
      <c r="A5" s="7">
        <v>2</v>
      </c>
      <c r="B5" s="7"/>
      <c r="C5" s="8"/>
      <c r="D5" s="8" t="s">
        <v>20</v>
      </c>
      <c r="E5" s="9" t="s">
        <v>12</v>
      </c>
      <c r="F5" s="9">
        <v>1</v>
      </c>
      <c r="G5" s="9" t="s">
        <v>21</v>
      </c>
      <c r="H5" s="11" t="s">
        <v>14</v>
      </c>
      <c r="I5" s="9"/>
    </row>
    <row r="6" ht="28.8" outlineLevel="1" spans="1:10">
      <c r="A6" s="7"/>
      <c r="B6" s="7"/>
      <c r="C6" s="8"/>
      <c r="D6" s="12" t="s">
        <v>16</v>
      </c>
      <c r="E6" s="13" t="s">
        <v>12</v>
      </c>
      <c r="F6" s="9">
        <v>13</v>
      </c>
      <c r="G6" s="13" t="s">
        <v>21</v>
      </c>
      <c r="H6" s="8" t="s">
        <v>22</v>
      </c>
      <c r="I6" s="9"/>
    </row>
    <row r="7" outlineLevel="1" spans="1:10">
      <c r="A7" s="7"/>
      <c r="B7" s="7"/>
      <c r="C7" s="8"/>
      <c r="D7" s="17" t="s">
        <v>23</v>
      </c>
      <c r="E7" s="18" t="s">
        <v>12</v>
      </c>
      <c r="F7" s="19">
        <v>1</v>
      </c>
      <c r="G7" s="19" t="s">
        <v>24</v>
      </c>
      <c r="H7" s="20" t="s">
        <v>14</v>
      </c>
      <c r="I7" s="9"/>
    </row>
    <row r="8" ht="100.8" outlineLevel="1" spans="1:10">
      <c r="A8" s="7">
        <v>3</v>
      </c>
      <c r="B8" s="7"/>
      <c r="C8" s="8"/>
      <c r="D8" s="21" t="s">
        <v>16</v>
      </c>
      <c r="E8" s="14" t="s">
        <v>12</v>
      </c>
      <c r="F8" s="14">
        <v>13</v>
      </c>
      <c r="G8" s="14" t="s">
        <v>24</v>
      </c>
      <c r="H8" s="17" t="s">
        <v>25</v>
      </c>
      <c r="I8" s="9"/>
      <c r="J8" s="16" t="s">
        <v>26</v>
      </c>
    </row>
    <row r="9" outlineLevel="1" spans="1:10">
      <c r="A9" s="7"/>
      <c r="B9" s="7"/>
      <c r="C9" s="8"/>
      <c r="D9" s="8" t="s">
        <v>27</v>
      </c>
      <c r="E9" s="9" t="s">
        <v>12</v>
      </c>
      <c r="F9" s="10">
        <v>1</v>
      </c>
      <c r="G9" s="9" t="s">
        <v>28</v>
      </c>
      <c r="H9" s="11" t="s">
        <v>14</v>
      </c>
      <c r="I9" s="9"/>
    </row>
    <row r="10" outlineLevel="1" spans="1:10">
      <c r="A10" s="7"/>
      <c r="B10" s="7"/>
      <c r="C10" s="8"/>
      <c r="D10" s="12" t="s">
        <v>16</v>
      </c>
      <c r="E10" s="13" t="s">
        <v>12</v>
      </c>
      <c r="F10" s="9">
        <v>2</v>
      </c>
      <c r="G10" s="13" t="s">
        <v>28</v>
      </c>
      <c r="H10" s="12" t="s">
        <v>29</v>
      </c>
      <c r="I10" s="9"/>
    </row>
    <row r="11" ht="15.6" spans="1:10">
      <c r="A11" s="7"/>
      <c r="B11" s="7"/>
      <c r="C11" s="6"/>
      <c r="D11" s="8"/>
      <c r="E11" s="9"/>
      <c r="F11" s="9"/>
      <c r="G11" s="9"/>
      <c r="H11" s="8"/>
      <c r="I11" s="9"/>
    </row>
    <row r="12" ht="15.6" spans="1:10">
      <c r="A12" s="7"/>
      <c r="B12" s="7"/>
      <c r="C12" s="6" t="s">
        <v>30</v>
      </c>
      <c r="D12" s="8"/>
      <c r="E12" s="9"/>
      <c r="F12" s="9"/>
      <c r="G12" s="9"/>
      <c r="H12" s="8"/>
      <c r="I12" s="9"/>
    </row>
    <row r="13" ht="15" outlineLevel="1" spans="1:10">
      <c r="A13" s="7">
        <v>4</v>
      </c>
      <c r="B13" s="7"/>
      <c r="C13" s="8"/>
      <c r="D13" s="22" t="s">
        <v>31</v>
      </c>
      <c r="E13" s="9" t="s">
        <v>12</v>
      </c>
      <c r="F13" s="10">
        <v>5</v>
      </c>
      <c r="G13" s="10" t="s">
        <v>32</v>
      </c>
      <c r="H13" s="11" t="s">
        <v>33</v>
      </c>
      <c r="I13" s="10" t="s">
        <v>18</v>
      </c>
      <c r="J13" t="s">
        <v>34</v>
      </c>
    </row>
    <row r="14" outlineLevel="1" spans="1:10">
      <c r="A14" s="7"/>
      <c r="B14" s="7"/>
      <c r="C14" s="8"/>
      <c r="D14" s="12" t="s">
        <v>16</v>
      </c>
      <c r="E14" s="13" t="s">
        <v>12</v>
      </c>
      <c r="F14" s="9">
        <v>2</v>
      </c>
      <c r="G14" s="13" t="s">
        <v>32</v>
      </c>
      <c r="H14" s="12" t="s">
        <v>29</v>
      </c>
      <c r="I14" s="9" t="s">
        <v>18</v>
      </c>
    </row>
    <row r="15" ht="28.8" outlineLevel="1" spans="1:10">
      <c r="A15" s="7">
        <v>5</v>
      </c>
      <c r="B15" s="7"/>
      <c r="C15" s="8"/>
      <c r="D15" s="23" t="s">
        <v>35</v>
      </c>
      <c r="E15" s="9" t="s">
        <v>12</v>
      </c>
      <c r="F15" s="10">
        <v>2</v>
      </c>
      <c r="G15" s="10" t="s">
        <v>36</v>
      </c>
      <c r="H15" s="24" t="s">
        <v>37</v>
      </c>
      <c r="I15" s="10" t="s">
        <v>18</v>
      </c>
      <c r="J15" s="25" t="s">
        <v>38</v>
      </c>
    </row>
    <row r="16" outlineLevel="1" spans="1:10">
      <c r="A16" s="7"/>
      <c r="B16" s="7"/>
      <c r="C16" s="8"/>
      <c r="D16" s="12" t="s">
        <v>16</v>
      </c>
      <c r="E16" s="13" t="s">
        <v>12</v>
      </c>
      <c r="F16" s="9">
        <v>2</v>
      </c>
      <c r="G16" s="13" t="str">
        <f t="shared" ref="G16:G20" si="0">G15</f>
        <v>0x21</v>
      </c>
      <c r="H16" s="12" t="s">
        <v>29</v>
      </c>
      <c r="I16" s="9" t="s">
        <v>18</v>
      </c>
    </row>
    <row r="17" ht="15" outlineLevel="1" spans="1:10">
      <c r="A17" s="7">
        <v>6</v>
      </c>
      <c r="B17" s="7"/>
      <c r="C17" s="8"/>
      <c r="D17" s="23" t="s">
        <v>39</v>
      </c>
      <c r="E17" s="9" t="s">
        <v>12</v>
      </c>
      <c r="F17" s="10">
        <v>5</v>
      </c>
      <c r="G17" s="10" t="s">
        <v>40</v>
      </c>
      <c r="H17" s="11" t="s">
        <v>33</v>
      </c>
      <c r="I17" s="10" t="s">
        <v>18</v>
      </c>
      <c r="J17" t="s">
        <v>34</v>
      </c>
    </row>
    <row r="18" outlineLevel="1" spans="1:10">
      <c r="A18" s="7"/>
      <c r="B18" s="7"/>
      <c r="C18" s="8"/>
      <c r="D18" s="12" t="s">
        <v>16</v>
      </c>
      <c r="E18" s="13" t="s">
        <v>12</v>
      </c>
      <c r="F18" s="9">
        <v>2</v>
      </c>
      <c r="G18" s="13" t="str">
        <f t="shared" si="0"/>
        <v>0x22</v>
      </c>
      <c r="H18" s="12" t="s">
        <v>29</v>
      </c>
      <c r="I18" s="9" t="s">
        <v>18</v>
      </c>
    </row>
    <row r="19" ht="15" outlineLevel="1" spans="1:10">
      <c r="A19" s="7">
        <v>7</v>
      </c>
      <c r="B19" s="7"/>
      <c r="C19" s="8"/>
      <c r="D19" s="23" t="s">
        <v>41</v>
      </c>
      <c r="E19" s="9" t="s">
        <v>12</v>
      </c>
      <c r="F19" s="10">
        <v>5</v>
      </c>
      <c r="G19" s="10" t="s">
        <v>42</v>
      </c>
      <c r="H19" s="11" t="s">
        <v>43</v>
      </c>
      <c r="I19" s="10" t="s">
        <v>18</v>
      </c>
    </row>
    <row r="20" outlineLevel="1" spans="1:10">
      <c r="A20" s="7"/>
      <c r="B20" s="7"/>
      <c r="C20" s="8"/>
      <c r="D20" s="12" t="s">
        <v>16</v>
      </c>
      <c r="E20" s="13" t="s">
        <v>12</v>
      </c>
      <c r="F20" s="9">
        <v>2</v>
      </c>
      <c r="G20" s="13" t="str">
        <f t="shared" si="0"/>
        <v>0x23</v>
      </c>
      <c r="H20" s="12" t="s">
        <v>29</v>
      </c>
      <c r="I20" s="9" t="s">
        <v>18</v>
      </c>
    </row>
    <row r="21" ht="15" outlineLevel="1" spans="1:10">
      <c r="A21" s="7">
        <v>8</v>
      </c>
      <c r="B21" s="7"/>
      <c r="C21" s="8"/>
      <c r="D21" s="23" t="s">
        <v>44</v>
      </c>
      <c r="E21" s="9" t="s">
        <v>12</v>
      </c>
      <c r="F21" s="10">
        <v>2</v>
      </c>
      <c r="G21" s="10" t="s">
        <v>12</v>
      </c>
      <c r="H21" s="11" t="s">
        <v>45</v>
      </c>
      <c r="I21" s="10" t="s">
        <v>18</v>
      </c>
    </row>
    <row r="22" outlineLevel="1" spans="1:10">
      <c r="A22" s="7"/>
      <c r="B22" s="7"/>
      <c r="C22" s="8"/>
      <c r="D22" s="12" t="s">
        <v>16</v>
      </c>
      <c r="E22" s="13" t="s">
        <v>12</v>
      </c>
      <c r="F22" s="9">
        <v>2</v>
      </c>
      <c r="G22" s="13" t="str">
        <f t="shared" ref="G22:G26" si="1">G21</f>
        <v>0x24</v>
      </c>
      <c r="H22" s="12" t="s">
        <v>29</v>
      </c>
      <c r="I22" s="9" t="s">
        <v>18</v>
      </c>
    </row>
    <row r="23" ht="15" outlineLevel="1" spans="1:10">
      <c r="A23" s="7">
        <v>9</v>
      </c>
      <c r="B23" s="7"/>
      <c r="C23" s="8"/>
      <c r="D23" s="23" t="s">
        <v>46</v>
      </c>
      <c r="E23" s="9" t="s">
        <v>12</v>
      </c>
      <c r="F23" s="10">
        <v>2</v>
      </c>
      <c r="G23" s="10" t="s">
        <v>47</v>
      </c>
      <c r="H23" s="11" t="s">
        <v>48</v>
      </c>
      <c r="I23" s="10" t="s">
        <v>18</v>
      </c>
    </row>
    <row r="24" outlineLevel="1" spans="1:10">
      <c r="A24" s="7"/>
      <c r="B24" s="7"/>
      <c r="C24" s="8"/>
      <c r="D24" s="12" t="s">
        <v>16</v>
      </c>
      <c r="E24" s="13" t="s">
        <v>12</v>
      </c>
      <c r="F24" s="9">
        <v>2</v>
      </c>
      <c r="G24" s="13" t="str">
        <f t="shared" si="1"/>
        <v>0x25</v>
      </c>
      <c r="H24" s="12" t="s">
        <v>29</v>
      </c>
      <c r="I24" s="9" t="s">
        <v>18</v>
      </c>
    </row>
    <row r="25" ht="15" outlineLevel="1" spans="1:10">
      <c r="A25" s="7">
        <v>10</v>
      </c>
      <c r="B25" s="7"/>
      <c r="C25" s="8"/>
      <c r="D25" s="23" t="s">
        <v>49</v>
      </c>
      <c r="E25" s="9" t="s">
        <v>12</v>
      </c>
      <c r="F25" s="10">
        <v>5</v>
      </c>
      <c r="G25" s="10" t="s">
        <v>50</v>
      </c>
      <c r="H25" s="11" t="s">
        <v>51</v>
      </c>
      <c r="I25" s="10" t="s">
        <v>18</v>
      </c>
    </row>
    <row r="26" outlineLevel="1" spans="1:10">
      <c r="A26" s="7"/>
      <c r="B26" s="7"/>
      <c r="C26" s="8"/>
      <c r="D26" s="12" t="s">
        <v>16</v>
      </c>
      <c r="E26" s="13" t="s">
        <v>12</v>
      </c>
      <c r="F26" s="9">
        <v>2</v>
      </c>
      <c r="G26" s="13" t="str">
        <f t="shared" si="1"/>
        <v>0x26</v>
      </c>
      <c r="H26" s="12" t="s">
        <v>29</v>
      </c>
      <c r="I26" s="9" t="s">
        <v>18</v>
      </c>
    </row>
    <row r="27" ht="28.8" outlineLevel="1" spans="1:10">
      <c r="A27" s="7">
        <v>11</v>
      </c>
      <c r="B27" s="7"/>
      <c r="C27" s="8"/>
      <c r="D27" s="23" t="s">
        <v>52</v>
      </c>
      <c r="E27" s="9" t="s">
        <v>12</v>
      </c>
      <c r="F27" s="10">
        <v>17</v>
      </c>
      <c r="G27" s="10" t="s">
        <v>53</v>
      </c>
      <c r="H27" s="11" t="s">
        <v>54</v>
      </c>
      <c r="I27" s="10" t="s">
        <v>18</v>
      </c>
    </row>
    <row r="28" outlineLevel="1" spans="1:10">
      <c r="A28" s="7"/>
      <c r="B28" s="7"/>
      <c r="C28" s="8"/>
      <c r="D28" s="12" t="s">
        <v>16</v>
      </c>
      <c r="E28" s="13" t="s">
        <v>12</v>
      </c>
      <c r="F28" s="9">
        <v>2</v>
      </c>
      <c r="G28" s="13" t="str">
        <f t="shared" ref="G28:G32" si="2">G27</f>
        <v>0x27</v>
      </c>
      <c r="H28" s="12" t="s">
        <v>29</v>
      </c>
      <c r="I28" s="9" t="s">
        <v>18</v>
      </c>
    </row>
    <row r="29" ht="15" outlineLevel="1" spans="1:10">
      <c r="A29" s="7">
        <v>12</v>
      </c>
      <c r="B29" s="7"/>
      <c r="C29" s="8"/>
      <c r="D29" s="23" t="s">
        <v>55</v>
      </c>
      <c r="E29" s="9" t="s">
        <v>12</v>
      </c>
      <c r="F29" s="10">
        <v>5</v>
      </c>
      <c r="G29" s="10" t="s">
        <v>56</v>
      </c>
      <c r="H29" s="11" t="s">
        <v>33</v>
      </c>
      <c r="I29" s="10" t="s">
        <v>18</v>
      </c>
    </row>
    <row r="30" outlineLevel="1" spans="1:10">
      <c r="A30" s="7"/>
      <c r="B30" s="7"/>
      <c r="C30" s="8"/>
      <c r="D30" s="12" t="s">
        <v>16</v>
      </c>
      <c r="E30" s="13" t="s">
        <v>12</v>
      </c>
      <c r="F30" s="9">
        <v>2</v>
      </c>
      <c r="G30" s="13" t="str">
        <f t="shared" si="2"/>
        <v>0x28</v>
      </c>
      <c r="H30" s="12" t="s">
        <v>29</v>
      </c>
      <c r="I30" s="10"/>
    </row>
    <row r="31" ht="57.6" outlineLevel="1" spans="1:10">
      <c r="A31" s="7"/>
      <c r="B31" s="7"/>
      <c r="C31" s="8"/>
      <c r="D31" s="23" t="s">
        <v>57</v>
      </c>
      <c r="E31" s="9" t="s">
        <v>12</v>
      </c>
      <c r="F31" s="10" t="s">
        <v>58</v>
      </c>
      <c r="G31" s="26" t="s">
        <v>59</v>
      </c>
      <c r="H31" s="24" t="s">
        <v>60</v>
      </c>
      <c r="I31" s="10"/>
      <c r="J31" s="2" t="s">
        <v>61</v>
      </c>
    </row>
    <row r="32" outlineLevel="1" spans="1:10">
      <c r="A32" s="7"/>
      <c r="B32" s="7"/>
      <c r="C32" s="8"/>
      <c r="D32" s="12" t="s">
        <v>16</v>
      </c>
      <c r="E32" s="13" t="s">
        <v>12</v>
      </c>
      <c r="F32" s="9">
        <v>2</v>
      </c>
      <c r="G32" s="27" t="str">
        <f t="shared" si="2"/>
        <v>0x29</v>
      </c>
      <c r="H32" s="28" t="s">
        <v>29</v>
      </c>
      <c r="I32" s="10"/>
    </row>
    <row r="33" ht="57.6" outlineLevel="1" spans="1:10">
      <c r="A33" s="7"/>
      <c r="B33" s="7"/>
      <c r="C33" s="8"/>
      <c r="D33" s="23" t="s">
        <v>62</v>
      </c>
      <c r="E33" s="9" t="s">
        <v>12</v>
      </c>
      <c r="F33" s="10" t="s">
        <v>58</v>
      </c>
      <c r="G33" s="26" t="s">
        <v>63</v>
      </c>
      <c r="H33" s="24" t="s">
        <v>60</v>
      </c>
      <c r="I33" s="10"/>
      <c r="J33" s="2" t="s">
        <v>64</v>
      </c>
    </row>
    <row r="34" outlineLevel="1" spans="1:10">
      <c r="A34" s="7"/>
      <c r="B34" s="7"/>
      <c r="C34" s="8"/>
      <c r="D34" s="12" t="s">
        <v>16</v>
      </c>
      <c r="E34" s="13" t="s">
        <v>12</v>
      </c>
      <c r="F34" s="9">
        <v>2</v>
      </c>
      <c r="G34" s="27" t="str">
        <f>G33</f>
        <v>0x2a</v>
      </c>
      <c r="H34" s="28" t="s">
        <v>29</v>
      </c>
      <c r="I34" s="9" t="s">
        <v>18</v>
      </c>
    </row>
    <row r="35" ht="43.2" outlineLevel="1" spans="1:10">
      <c r="A35" s="7"/>
      <c r="B35" s="7"/>
      <c r="C35" s="8"/>
      <c r="D35" s="23" t="s">
        <v>65</v>
      </c>
      <c r="E35" s="9" t="s">
        <v>12</v>
      </c>
      <c r="F35" s="10" t="s">
        <v>58</v>
      </c>
      <c r="G35" s="26" t="s">
        <v>66</v>
      </c>
      <c r="H35" s="24" t="s">
        <v>67</v>
      </c>
      <c r="I35" s="10"/>
      <c r="J35" s="2" t="s">
        <v>68</v>
      </c>
    </row>
    <row r="36" outlineLevel="1" spans="1:10">
      <c r="A36" s="7"/>
      <c r="B36" s="7"/>
      <c r="C36" s="8"/>
      <c r="D36" s="12" t="s">
        <v>16</v>
      </c>
      <c r="E36" s="13" t="s">
        <v>12</v>
      </c>
      <c r="F36" s="9">
        <v>2</v>
      </c>
      <c r="G36" s="27" t="str">
        <f>G35</f>
        <v>0x2b</v>
      </c>
      <c r="H36" s="28" t="s">
        <v>29</v>
      </c>
      <c r="I36" s="9" t="s">
        <v>18</v>
      </c>
    </row>
    <row r="37" ht="43.2" outlineLevel="1" spans="1:10">
      <c r="A37" s="7"/>
      <c r="B37" s="7"/>
      <c r="C37" s="8"/>
      <c r="D37" s="23" t="s">
        <v>69</v>
      </c>
      <c r="E37" s="9" t="s">
        <v>12</v>
      </c>
      <c r="F37" s="10">
        <v>233</v>
      </c>
      <c r="G37" s="19" t="s">
        <v>70</v>
      </c>
      <c r="H37" s="24" t="s">
        <v>71</v>
      </c>
      <c r="I37" s="10" t="s">
        <v>18</v>
      </c>
      <c r="J37" s="2" t="s">
        <v>72</v>
      </c>
    </row>
    <row r="38" outlineLevel="1" spans="1:10">
      <c r="A38" s="7"/>
      <c r="B38" s="7"/>
      <c r="C38" s="8"/>
      <c r="D38" s="12" t="s">
        <v>16</v>
      </c>
      <c r="E38" s="13" t="s">
        <v>12</v>
      </c>
      <c r="F38" s="9">
        <v>2</v>
      </c>
      <c r="G38" s="14" t="str">
        <f>G37</f>
        <v>0x2C</v>
      </c>
      <c r="H38" s="28" t="s">
        <v>29</v>
      </c>
      <c r="I38" s="9" t="s">
        <v>18</v>
      </c>
      <c r="J38" t="s">
        <v>73</v>
      </c>
    </row>
    <row r="39" ht="15.6" spans="1:10">
      <c r="A39" s="7"/>
      <c r="B39" s="7"/>
      <c r="C39" s="6"/>
      <c r="D39" s="8"/>
      <c r="E39" s="9"/>
      <c r="F39" s="9"/>
      <c r="G39" s="9"/>
      <c r="H39" s="8"/>
      <c r="I39" s="9"/>
    </row>
    <row r="40" ht="15.6" spans="1:10">
      <c r="A40" s="7"/>
      <c r="B40" s="7"/>
      <c r="C40" s="6" t="s">
        <v>74</v>
      </c>
      <c r="D40" s="8"/>
      <c r="E40" s="9"/>
      <c r="F40" s="9"/>
      <c r="G40" s="9"/>
      <c r="H40" s="8"/>
      <c r="I40" s="9"/>
    </row>
    <row r="41" ht="15" outlineLevel="1" spans="1:10">
      <c r="A41" s="7">
        <v>13</v>
      </c>
      <c r="B41" s="7"/>
      <c r="C41" s="8"/>
      <c r="D41" s="22" t="s">
        <v>75</v>
      </c>
      <c r="E41" s="9" t="s">
        <v>12</v>
      </c>
      <c r="F41" s="10">
        <v>1</v>
      </c>
      <c r="G41" s="10" t="s">
        <v>76</v>
      </c>
      <c r="H41" s="11" t="s">
        <v>14</v>
      </c>
      <c r="I41" s="9"/>
    </row>
    <row r="42" outlineLevel="1" spans="1:10">
      <c r="A42" s="7"/>
      <c r="B42" s="7"/>
      <c r="C42" s="8"/>
      <c r="D42" s="12" t="s">
        <v>16</v>
      </c>
      <c r="E42" s="13" t="s">
        <v>12</v>
      </c>
      <c r="F42" s="9">
        <v>5</v>
      </c>
      <c r="G42" s="13" t="s">
        <v>32</v>
      </c>
      <c r="H42" s="12" t="s">
        <v>33</v>
      </c>
      <c r="I42" s="9"/>
      <c r="J42" s="29" t="s">
        <v>77</v>
      </c>
    </row>
    <row r="43" ht="15" outlineLevel="1" spans="1:10">
      <c r="A43" s="7">
        <v>14</v>
      </c>
      <c r="B43" s="7"/>
      <c r="C43" s="8"/>
      <c r="D43" s="23" t="s">
        <v>78</v>
      </c>
      <c r="E43" s="9" t="s">
        <v>12</v>
      </c>
      <c r="F43" s="10">
        <v>1</v>
      </c>
      <c r="G43" s="10" t="s">
        <v>79</v>
      </c>
      <c r="H43" s="11" t="s">
        <v>14</v>
      </c>
      <c r="I43" s="9"/>
    </row>
    <row r="44" outlineLevel="1" spans="1:10">
      <c r="A44" s="7"/>
      <c r="B44" s="7"/>
      <c r="C44" s="8"/>
      <c r="D44" s="12" t="s">
        <v>16</v>
      </c>
      <c r="E44" s="13" t="s">
        <v>12</v>
      </c>
      <c r="F44" s="9">
        <v>2</v>
      </c>
      <c r="G44" s="13" t="str">
        <f t="shared" ref="G44:G48" si="3">G43</f>
        <v>0x31</v>
      </c>
      <c r="H44" s="12" t="s">
        <v>37</v>
      </c>
      <c r="I44" s="9"/>
    </row>
    <row r="45" ht="15" outlineLevel="1" spans="1:10">
      <c r="A45" s="7">
        <v>15</v>
      </c>
      <c r="B45" s="7"/>
      <c r="C45" s="8"/>
      <c r="D45" s="23" t="s">
        <v>80</v>
      </c>
      <c r="E45" s="9" t="s">
        <v>12</v>
      </c>
      <c r="F45" s="10">
        <v>1</v>
      </c>
      <c r="G45" s="10" t="s">
        <v>81</v>
      </c>
      <c r="H45" s="11" t="s">
        <v>14</v>
      </c>
      <c r="I45" s="9"/>
    </row>
    <row r="46" outlineLevel="1" spans="1:10">
      <c r="A46" s="7"/>
      <c r="B46" s="7"/>
      <c r="C46" s="8"/>
      <c r="D46" s="12" t="s">
        <v>16</v>
      </c>
      <c r="E46" s="13" t="s">
        <v>12</v>
      </c>
      <c r="F46" s="9">
        <v>5</v>
      </c>
      <c r="G46" s="13" t="str">
        <f t="shared" si="3"/>
        <v>0x32</v>
      </c>
      <c r="H46" s="12" t="s">
        <v>33</v>
      </c>
      <c r="I46" s="9"/>
    </row>
    <row r="47" ht="15" outlineLevel="1" spans="1:10">
      <c r="A47" s="7">
        <v>16</v>
      </c>
      <c r="B47" s="7"/>
      <c r="C47" s="8"/>
      <c r="D47" s="23" t="s">
        <v>82</v>
      </c>
      <c r="E47" s="9" t="s">
        <v>12</v>
      </c>
      <c r="F47" s="10">
        <v>1</v>
      </c>
      <c r="G47" s="10" t="s">
        <v>83</v>
      </c>
      <c r="H47" s="11" t="s">
        <v>14</v>
      </c>
      <c r="I47" s="9"/>
    </row>
    <row r="48" outlineLevel="1" spans="1:10">
      <c r="A48" s="7"/>
      <c r="B48" s="7"/>
      <c r="C48" s="8"/>
      <c r="D48" s="12" t="s">
        <v>16</v>
      </c>
      <c r="E48" s="13" t="s">
        <v>12</v>
      </c>
      <c r="F48" s="9">
        <v>5</v>
      </c>
      <c r="G48" s="13" t="str">
        <f t="shared" si="3"/>
        <v>0x33</v>
      </c>
      <c r="H48" s="12" t="s">
        <v>43</v>
      </c>
      <c r="I48" s="9"/>
    </row>
    <row r="49" ht="15" outlineLevel="1" spans="1:10">
      <c r="A49" s="7">
        <v>17</v>
      </c>
      <c r="B49" s="7"/>
      <c r="C49" s="8"/>
      <c r="D49" s="23" t="s">
        <v>84</v>
      </c>
      <c r="E49" s="9" t="s">
        <v>12</v>
      </c>
      <c r="F49" s="10">
        <v>1</v>
      </c>
      <c r="G49" s="10" t="s">
        <v>85</v>
      </c>
      <c r="H49" s="11" t="s">
        <v>14</v>
      </c>
      <c r="I49" s="9"/>
    </row>
    <row r="50" outlineLevel="1" spans="1:10">
      <c r="A50" s="7"/>
      <c r="B50" s="7"/>
      <c r="C50" s="8"/>
      <c r="D50" s="12" t="s">
        <v>16</v>
      </c>
      <c r="E50" s="13" t="s">
        <v>12</v>
      </c>
      <c r="F50" s="9">
        <v>2</v>
      </c>
      <c r="G50" s="13" t="str">
        <f t="shared" ref="G50:G54" si="4">G49</f>
        <v>0x34</v>
      </c>
      <c r="H50" s="12" t="s">
        <v>45</v>
      </c>
      <c r="I50" s="9"/>
    </row>
    <row r="51" ht="15" outlineLevel="1" spans="1:10">
      <c r="A51" s="7">
        <v>18</v>
      </c>
      <c r="B51" s="7"/>
      <c r="C51" s="8"/>
      <c r="D51" s="23" t="s">
        <v>86</v>
      </c>
      <c r="E51" s="9" t="s">
        <v>12</v>
      </c>
      <c r="F51" s="10">
        <v>1</v>
      </c>
      <c r="G51" s="10" t="s">
        <v>87</v>
      </c>
      <c r="H51" s="11" t="s">
        <v>14</v>
      </c>
      <c r="I51" s="9"/>
    </row>
    <row r="52" ht="28.8" outlineLevel="1" spans="1:10">
      <c r="A52" s="7"/>
      <c r="B52" s="7"/>
      <c r="C52" s="8"/>
      <c r="D52" s="12" t="s">
        <v>16</v>
      </c>
      <c r="E52" s="13" t="s">
        <v>12</v>
      </c>
      <c r="F52" s="9">
        <v>2</v>
      </c>
      <c r="G52" s="13" t="str">
        <f t="shared" si="4"/>
        <v>0x35</v>
      </c>
      <c r="H52" s="12" t="s">
        <v>48</v>
      </c>
      <c r="I52" s="9"/>
      <c r="J52" s="25" t="s">
        <v>88</v>
      </c>
    </row>
    <row r="53" ht="15" outlineLevel="1" spans="1:10">
      <c r="A53" s="7">
        <v>19</v>
      </c>
      <c r="B53" s="7"/>
      <c r="C53" s="8"/>
      <c r="D53" s="23" t="s">
        <v>89</v>
      </c>
      <c r="E53" s="9" t="s">
        <v>12</v>
      </c>
      <c r="F53" s="10">
        <v>1</v>
      </c>
      <c r="G53" s="10" t="s">
        <v>90</v>
      </c>
      <c r="H53" s="11" t="s">
        <v>14</v>
      </c>
      <c r="I53" s="9"/>
    </row>
    <row r="54" outlineLevel="1" spans="1:10">
      <c r="A54" s="7"/>
      <c r="B54" s="7"/>
      <c r="C54" s="8"/>
      <c r="D54" s="12" t="s">
        <v>16</v>
      </c>
      <c r="E54" s="13" t="s">
        <v>12</v>
      </c>
      <c r="F54" s="9">
        <v>5</v>
      </c>
      <c r="G54" s="13" t="str">
        <f t="shared" si="4"/>
        <v>0x36</v>
      </c>
      <c r="H54" s="12" t="s">
        <v>51</v>
      </c>
      <c r="I54" s="9"/>
    </row>
    <row r="55" ht="15" outlineLevel="1" spans="1:10">
      <c r="A55" s="7">
        <v>20</v>
      </c>
      <c r="B55" s="7"/>
      <c r="C55" s="8"/>
      <c r="D55" s="23" t="s">
        <v>91</v>
      </c>
      <c r="E55" s="9" t="s">
        <v>12</v>
      </c>
      <c r="F55" s="10">
        <v>1</v>
      </c>
      <c r="G55" s="10" t="s">
        <v>92</v>
      </c>
      <c r="H55" s="11" t="s">
        <v>14</v>
      </c>
      <c r="I55" s="9"/>
    </row>
    <row r="56" ht="28.8" outlineLevel="1" spans="1:10">
      <c r="A56" s="7"/>
      <c r="B56" s="7"/>
      <c r="C56" s="8"/>
      <c r="D56" s="12" t="s">
        <v>16</v>
      </c>
      <c r="E56" s="13" t="s">
        <v>12</v>
      </c>
      <c r="F56" s="9">
        <v>17</v>
      </c>
      <c r="G56" s="13" t="str">
        <f t="shared" ref="G56:G60" si="5">G55</f>
        <v>0x37</v>
      </c>
      <c r="H56" s="12" t="s">
        <v>54</v>
      </c>
      <c r="I56" s="9"/>
    </row>
    <row r="57" ht="15" outlineLevel="1" spans="1:10">
      <c r="A57" s="7">
        <v>21</v>
      </c>
      <c r="B57" s="7"/>
      <c r="C57" s="8"/>
      <c r="D57" s="23" t="s">
        <v>93</v>
      </c>
      <c r="E57" s="9" t="s">
        <v>12</v>
      </c>
      <c r="F57" s="10">
        <v>1</v>
      </c>
      <c r="G57" s="10" t="s">
        <v>94</v>
      </c>
      <c r="H57" s="11" t="s">
        <v>14</v>
      </c>
      <c r="I57" s="9"/>
    </row>
    <row r="58" outlineLevel="1" spans="1:10">
      <c r="A58" s="7"/>
      <c r="B58" s="7"/>
      <c r="C58" s="8"/>
      <c r="D58" s="12" t="s">
        <v>16</v>
      </c>
      <c r="E58" s="13" t="s">
        <v>12</v>
      </c>
      <c r="F58" s="9">
        <v>5</v>
      </c>
      <c r="G58" s="13" t="str">
        <f t="shared" si="5"/>
        <v>0x38</v>
      </c>
      <c r="H58" s="12" t="s">
        <v>33</v>
      </c>
      <c r="I58" s="9"/>
    </row>
    <row r="59" ht="15" outlineLevel="1" spans="1:10">
      <c r="A59" s="7"/>
      <c r="B59" s="7"/>
      <c r="C59" s="8"/>
      <c r="D59" s="23" t="s">
        <v>95</v>
      </c>
      <c r="E59" s="9" t="s">
        <v>12</v>
      </c>
      <c r="F59" s="10">
        <v>5</v>
      </c>
      <c r="G59" s="10" t="s">
        <v>96</v>
      </c>
      <c r="H59" s="12" t="s">
        <v>97</v>
      </c>
      <c r="I59" s="9"/>
      <c r="J59" t="s">
        <v>98</v>
      </c>
    </row>
    <row r="60" outlineLevel="1" spans="1:10">
      <c r="A60" s="7"/>
      <c r="B60" s="7"/>
      <c r="C60" s="8"/>
      <c r="D60" s="12" t="s">
        <v>16</v>
      </c>
      <c r="E60" s="13" t="s">
        <v>12</v>
      </c>
      <c r="F60" s="13" t="s">
        <v>58</v>
      </c>
      <c r="G60" s="13" t="str">
        <f t="shared" si="5"/>
        <v>0x39</v>
      </c>
      <c r="H60" s="24" t="s">
        <v>60</v>
      </c>
      <c r="I60" s="9"/>
    </row>
    <row r="61" ht="15" outlineLevel="1" spans="1:10">
      <c r="A61" s="7"/>
      <c r="B61" s="7"/>
      <c r="C61" s="8"/>
      <c r="D61" s="23" t="s">
        <v>99</v>
      </c>
      <c r="E61" s="9" t="s">
        <v>12</v>
      </c>
      <c r="F61" s="10">
        <v>5</v>
      </c>
      <c r="G61" s="10" t="s">
        <v>100</v>
      </c>
      <c r="H61" s="12" t="s">
        <v>97</v>
      </c>
      <c r="I61" s="9"/>
    </row>
    <row r="62" outlineLevel="1" spans="1:10">
      <c r="A62" s="7"/>
      <c r="B62" s="7"/>
      <c r="C62" s="8"/>
      <c r="D62" s="12" t="s">
        <v>16</v>
      </c>
      <c r="E62" s="13" t="s">
        <v>12</v>
      </c>
      <c r="F62" s="13" t="s">
        <v>58</v>
      </c>
      <c r="G62" s="13" t="str">
        <f>G61</f>
        <v>0x3a</v>
      </c>
      <c r="H62" s="24" t="s">
        <v>60</v>
      </c>
      <c r="I62" s="9"/>
      <c r="J62" t="s">
        <v>101</v>
      </c>
    </row>
    <row r="63" ht="15" outlineLevel="1" spans="1:10">
      <c r="A63" s="7"/>
      <c r="B63" s="7"/>
      <c r="C63" s="8"/>
      <c r="D63" s="23" t="s">
        <v>102</v>
      </c>
      <c r="E63" s="9" t="s">
        <v>12</v>
      </c>
      <c r="F63" s="10">
        <v>1</v>
      </c>
      <c r="G63" s="10" t="s">
        <v>103</v>
      </c>
      <c r="H63" s="24" t="s">
        <v>14</v>
      </c>
      <c r="I63" s="9"/>
    </row>
    <row r="64" outlineLevel="1" spans="1:10">
      <c r="A64" s="7"/>
      <c r="B64" s="7"/>
      <c r="C64" s="8"/>
      <c r="D64" s="12" t="s">
        <v>16</v>
      </c>
      <c r="E64" s="13" t="s">
        <v>12</v>
      </c>
      <c r="F64" s="13" t="s">
        <v>58</v>
      </c>
      <c r="G64" s="13" t="str">
        <f>G63</f>
        <v>0x3b</v>
      </c>
      <c r="H64" s="24" t="s">
        <v>104</v>
      </c>
      <c r="I64" s="9"/>
      <c r="J64" t="s">
        <v>105</v>
      </c>
    </row>
    <row r="65" ht="15" outlineLevel="1" spans="1:10">
      <c r="A65" s="7"/>
      <c r="B65" s="7"/>
      <c r="C65" s="8"/>
      <c r="D65" s="23" t="s">
        <v>106</v>
      </c>
      <c r="E65" s="9" t="s">
        <v>12</v>
      </c>
      <c r="F65" s="10">
        <v>1</v>
      </c>
      <c r="G65" s="19" t="s">
        <v>107</v>
      </c>
      <c r="H65" s="24" t="s">
        <v>14</v>
      </c>
      <c r="I65" s="9"/>
    </row>
    <row r="66" ht="72" outlineLevel="1" spans="1:10">
      <c r="A66" s="7"/>
      <c r="B66" s="7"/>
      <c r="C66" s="8"/>
      <c r="D66" s="12" t="s">
        <v>16</v>
      </c>
      <c r="E66" s="13" t="s">
        <v>12</v>
      </c>
      <c r="F66" s="13">
        <v>233</v>
      </c>
      <c r="G66" s="14" t="str">
        <f>G65</f>
        <v>0x3C</v>
      </c>
      <c r="H66" s="24" t="s">
        <v>71</v>
      </c>
      <c r="I66" s="9"/>
      <c r="J66" s="2" t="s">
        <v>108</v>
      </c>
    </row>
    <row r="67" spans="1:10">
      <c r="A67" s="7"/>
      <c r="B67" s="7"/>
      <c r="C67" s="8"/>
      <c r="D67" s="8"/>
      <c r="E67" s="9"/>
      <c r="F67" s="9"/>
      <c r="G67" s="9"/>
      <c r="H67" s="8"/>
      <c r="I67" s="9"/>
    </row>
    <row r="68" ht="15.6" spans="1:10">
      <c r="A68" s="7"/>
      <c r="B68" s="7"/>
      <c r="C68" s="6" t="s">
        <v>109</v>
      </c>
      <c r="D68" s="8"/>
      <c r="E68" s="9"/>
      <c r="F68" s="9"/>
      <c r="G68" s="9"/>
      <c r="H68" s="8"/>
      <c r="I68" s="9"/>
    </row>
    <row r="69" outlineLevel="1" spans="1:10">
      <c r="A69" s="7">
        <v>22</v>
      </c>
      <c r="B69" s="7"/>
      <c r="C69" s="8"/>
      <c r="D69" s="8" t="s">
        <v>110</v>
      </c>
      <c r="E69" s="9" t="s">
        <v>12</v>
      </c>
      <c r="F69" s="10">
        <v>1</v>
      </c>
      <c r="G69" s="10" t="s">
        <v>111</v>
      </c>
      <c r="H69" s="11" t="s">
        <v>14</v>
      </c>
      <c r="I69" s="9"/>
    </row>
    <row r="70" outlineLevel="1" spans="1:10">
      <c r="A70" s="7"/>
      <c r="B70" s="7"/>
      <c r="C70" s="8"/>
      <c r="D70" s="12" t="s">
        <v>16</v>
      </c>
      <c r="E70" s="13" t="s">
        <v>12</v>
      </c>
      <c r="F70" s="9">
        <v>2</v>
      </c>
      <c r="G70" s="13" t="str">
        <f t="shared" ref="G70:G74" si="6">G69</f>
        <v>0x50</v>
      </c>
      <c r="H70" s="12" t="s">
        <v>112</v>
      </c>
      <c r="I70" s="9"/>
    </row>
    <row r="71" outlineLevel="1" spans="1:10">
      <c r="A71" s="7">
        <v>23</v>
      </c>
      <c r="B71" s="7"/>
      <c r="C71" s="8"/>
      <c r="D71" s="30" t="s">
        <v>113</v>
      </c>
      <c r="E71" s="9" t="s">
        <v>12</v>
      </c>
      <c r="F71" s="10">
        <v>1</v>
      </c>
      <c r="G71" s="10" t="s">
        <v>114</v>
      </c>
      <c r="H71" s="11" t="s">
        <v>14</v>
      </c>
      <c r="I71" s="9"/>
    </row>
    <row r="72" outlineLevel="1" spans="1:10">
      <c r="A72" s="7"/>
      <c r="B72" s="7"/>
      <c r="C72" s="8"/>
      <c r="D72" s="12" t="s">
        <v>16</v>
      </c>
      <c r="E72" s="13" t="s">
        <v>12</v>
      </c>
      <c r="F72" s="9">
        <v>2</v>
      </c>
      <c r="G72" s="13" t="str">
        <f t="shared" si="6"/>
        <v>0x51</v>
      </c>
      <c r="H72" s="12" t="s">
        <v>112</v>
      </c>
      <c r="I72" s="9"/>
    </row>
    <row r="73" outlineLevel="1" spans="1:10">
      <c r="A73" s="7">
        <v>24</v>
      </c>
      <c r="B73" s="7"/>
      <c r="C73" s="8"/>
      <c r="D73" s="30" t="s">
        <v>115</v>
      </c>
      <c r="E73" s="9" t="s">
        <v>12</v>
      </c>
      <c r="F73" s="10">
        <v>1</v>
      </c>
      <c r="G73" s="10" t="s">
        <v>116</v>
      </c>
      <c r="H73" s="11" t="s">
        <v>14</v>
      </c>
      <c r="I73" s="9"/>
    </row>
    <row r="74" outlineLevel="1" spans="1:10">
      <c r="A74" s="7"/>
      <c r="B74" s="7"/>
      <c r="C74" s="8"/>
      <c r="D74" s="12" t="s">
        <v>16</v>
      </c>
      <c r="E74" s="13" t="s">
        <v>12</v>
      </c>
      <c r="F74" s="9">
        <v>2</v>
      </c>
      <c r="G74" s="13" t="str">
        <f t="shared" si="6"/>
        <v>0x52</v>
      </c>
      <c r="H74" s="12" t="s">
        <v>112</v>
      </c>
      <c r="I74" s="9"/>
    </row>
    <row r="75" outlineLevel="1" spans="1:10">
      <c r="A75" s="7">
        <v>25</v>
      </c>
      <c r="B75" s="7"/>
      <c r="C75" s="8"/>
      <c r="D75" s="8" t="s">
        <v>117</v>
      </c>
      <c r="E75" s="9" t="s">
        <v>12</v>
      </c>
      <c r="F75" s="10">
        <v>1</v>
      </c>
      <c r="G75" s="10" t="s">
        <v>118</v>
      </c>
      <c r="H75" s="11" t="s">
        <v>14</v>
      </c>
      <c r="I75" s="9"/>
    </row>
    <row r="76" outlineLevel="1" spans="1:10">
      <c r="A76" s="7"/>
      <c r="B76" s="7"/>
      <c r="C76" s="8"/>
      <c r="D76" s="12" t="s">
        <v>16</v>
      </c>
      <c r="E76" s="13" t="s">
        <v>12</v>
      </c>
      <c r="F76" s="9">
        <v>2</v>
      </c>
      <c r="G76" s="13" t="str">
        <f>G75</f>
        <v>0x54</v>
      </c>
      <c r="H76" s="12" t="s">
        <v>29</v>
      </c>
      <c r="I76" s="9" t="s">
        <v>119</v>
      </c>
    </row>
    <row r="77" spans="1:10">
      <c r="A77" s="7"/>
      <c r="B77" s="7"/>
      <c r="C77" s="8"/>
      <c r="D77" s="8"/>
      <c r="E77" s="9"/>
      <c r="F77" s="9"/>
      <c r="G77" s="9"/>
      <c r="H77" s="8"/>
      <c r="I77" s="9"/>
    </row>
    <row r="78" ht="93.6" spans="1:10">
      <c r="A78" s="7">
        <v>26</v>
      </c>
      <c r="B78" s="7"/>
      <c r="C78" s="6" t="s">
        <v>120</v>
      </c>
    </row>
    <row r="79" ht="72" spans="1:10">
      <c r="A79" s="7"/>
      <c r="B79" s="7"/>
      <c r="C79" s="8" t="s">
        <v>121</v>
      </c>
      <c r="D79" s="31" t="s">
        <v>16</v>
      </c>
      <c r="E79" s="32" t="s">
        <v>12</v>
      </c>
      <c r="F79" s="32" t="s">
        <v>122</v>
      </c>
      <c r="G79" s="32" t="s">
        <v>123</v>
      </c>
      <c r="H79" s="33" t="s">
        <v>124</v>
      </c>
      <c r="I79" s="34" t="s">
        <v>18</v>
      </c>
      <c r="J79" s="35" t="s">
        <v>125</v>
      </c>
    </row>
  </sheetData>
  <pageMargins left="0.7" right="0.7" top="0.75" bottom="0.75" header="0.3" footer="0.3"/>
  <pageSetup paperSize="9" orientation="portrait" horizontalDpi="1200" verticalDpi="12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函数表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Alipay</cp:lastModifiedBy>
  <dcterms:created xsi:type="dcterms:W3CDTF">2006-09-16T00:00:00Z</dcterms:created>
  <dcterms:modified xsi:type="dcterms:W3CDTF">2026-07-14T08:39:32Z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9E8AEBE160A949A1B21023E50189240C_13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